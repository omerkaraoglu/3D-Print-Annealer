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dFilamentDryer" sheetId="1" r:id="rId5"/>
  </sheets>
  <definedNames/>
  <calcPr/>
</workbook>
</file>

<file path=xl/sharedStrings.xml><?xml version="1.0" encoding="utf-8"?>
<sst xmlns="http://schemas.openxmlformats.org/spreadsheetml/2006/main" count="149" uniqueCount="137">
  <si>
    <t>Reference</t>
  </si>
  <si>
    <t>Qty</t>
  </si>
  <si>
    <t>Value</t>
  </si>
  <si>
    <t>Unit Price (USD)</t>
  </si>
  <si>
    <t>Total Price (USD)</t>
  </si>
  <si>
    <t>Exclude from Board</t>
  </si>
  <si>
    <t>Link</t>
  </si>
  <si>
    <t>Footprint</t>
  </si>
  <si>
    <t>C1</t>
  </si>
  <si>
    <t>100n 275VAC X2</t>
  </si>
  <si>
    <t>FARATRONIC C42P2104M6SC361 | Özdisan</t>
  </si>
  <si>
    <t>Capacitor_THT:C_Rect_L18.0mm_W5.0mm_P15.00mm_FKS3_FKP3</t>
  </si>
  <si>
    <t>C2</t>
  </si>
  <si>
    <t>220uF 16V</t>
  </si>
  <si>
    <t>KOSHIN PKLH-016V221ME110-T2.5 | Özdisan</t>
  </si>
  <si>
    <t>Capacitor_THT:C_Radial_D6.3mm_H11.0mm_P2.50mm</t>
  </si>
  <si>
    <t>C3</t>
  </si>
  <si>
    <t>100uF 16V</t>
  </si>
  <si>
    <t>KOSHIN PKRM-016V101MC110-T/A5.0 | Özdisan</t>
  </si>
  <si>
    <t>Capacitor_THT:CP_Radial_Tantal_D5.0mm_P5.00mm</t>
  </si>
  <si>
    <t>C4</t>
  </si>
  <si>
    <t>10n 305VAC X2</t>
  </si>
  <si>
    <t>FARATRONIC C42Q2103K40A405 | Özdisan</t>
  </si>
  <si>
    <t>Capacitor_THT:C_Rect_L13.0mm_W4.0mm_P10.00mm_FKS3_FKP3_MKS4</t>
  </si>
  <si>
    <t>C5,C6,C8</t>
  </si>
  <si>
    <t>100n</t>
  </si>
  <si>
    <t>VIKING MCF02KTB250104 | Özdisan</t>
  </si>
  <si>
    <t>Capacitor_SMD:C_0402_1005Metric</t>
  </si>
  <si>
    <t>C7</t>
  </si>
  <si>
    <t>10uF</t>
  </si>
  <si>
    <t>SAMSUNG CL10A106KP8NNNC | Özdisan</t>
  </si>
  <si>
    <t>Capacitor_SMD:C_0603_1608Metric</t>
  </si>
  <si>
    <t>D1,D2,D3,D4</t>
  </si>
  <si>
    <t>1N4007-HT</t>
  </si>
  <si>
    <t>HOTTECH 1N4007-HT | Özdisan</t>
  </si>
  <si>
    <t>Diode_THT:D_DO-41_SOD81_P10.16mm_Horizontal</t>
  </si>
  <si>
    <t>F1,F2</t>
  </si>
  <si>
    <t>250VAC 1A Slow Blow</t>
  </si>
  <si>
    <t>REOMAX TBC1100A | Özdisan</t>
  </si>
  <si>
    <t>Fuse:Fuseholder_Clip-5x20mm_Littelfuse_445-030_Inline_P20.50x5.20mm_D1.30mm_Horizontal</t>
  </si>
  <si>
    <t>F3,F4</t>
  </si>
  <si>
    <t>250VAC 2.5A Normal</t>
  </si>
  <si>
    <t>REOMAX 5GT2.5A | Özdisan</t>
  </si>
  <si>
    <t>-</t>
  </si>
  <si>
    <t>Fuse Holder Clip</t>
  </si>
  <si>
    <t>REOMAX R3-5A | Özdisan</t>
  </si>
  <si>
    <t>J1</t>
  </si>
  <si>
    <t>ILI9341 Connection Port</t>
  </si>
  <si>
    <t>2.8inç SPI Dokunmatik TFT Ekran Modülü - 240x320 Piksel, ILI9341 Satın Al</t>
  </si>
  <si>
    <t>Connector_PinHeader_2.54mm:PinHeader_1x14_P2.54mm_Vertical</t>
  </si>
  <si>
    <t>J2</t>
  </si>
  <si>
    <t>FTDI</t>
  </si>
  <si>
    <t>~</t>
  </si>
  <si>
    <t>Connector_PinHeader_2.54mm:PinHeader_1x06_P2.54mm_Vertical</t>
  </si>
  <si>
    <t>J3</t>
  </si>
  <si>
    <t>Mains</t>
  </si>
  <si>
    <t>Connector_Wire:SolderWire-1.5sqmm_1x02_P7.8mm_D1.7mm_OD3.9mm</t>
  </si>
  <si>
    <t>J4</t>
  </si>
  <si>
    <t>Fan</t>
  </si>
  <si>
    <t>Connector_Wire:SolderWire-0.75sqmm_1x02_P7mm_D1.25mm_OD3.5mm</t>
  </si>
  <si>
    <t>J5</t>
  </si>
  <si>
    <t>MAX6675</t>
  </si>
  <si>
    <t>MAX6675 K-tip Isıl çift Termokupl Sensör</t>
  </si>
  <si>
    <t>Connector_PinHeader_2.54mm:PinHeader_1x05_P2.54mm_Vertical</t>
  </si>
  <si>
    <t>L1</t>
  </si>
  <si>
    <t>LFU09V-103</t>
  </si>
  <si>
    <t>CORE MASTER LFU09V-103 | Özdisan</t>
  </si>
  <si>
    <t>Inductor_THT:LFU09V-103</t>
  </si>
  <si>
    <t>PS1</t>
  </si>
  <si>
    <t>HLK-PM01</t>
  </si>
  <si>
    <t>HI-LINK HLK-PM01 | Özdisan</t>
  </si>
  <si>
    <t>Converter_ACDC:Converter_ACDC_Hi-Link_HLK-PMxx</t>
  </si>
  <si>
    <t>Q1</t>
  </si>
  <si>
    <t>BTA12-600BW</t>
  </si>
  <si>
    <t>https://www.ozdisan.com/p/discrete-triyaklar-420/stm-bta12-600bwrg-615415</t>
  </si>
  <si>
    <t>Package_TO_SOT_THT:TO-220-3_Vertical</t>
  </si>
  <si>
    <t>Q2,Q3</t>
  </si>
  <si>
    <t>S8050-J3Y</t>
  </si>
  <si>
    <t>MDD S8050-J3Y | Özdisan</t>
  </si>
  <si>
    <t>Package_TO_SOT_SMD:SOT-23-3</t>
  </si>
  <si>
    <t>R1</t>
  </si>
  <si>
    <t>Heater 500W</t>
  </si>
  <si>
    <t>R2,R3</t>
  </si>
  <si>
    <t>360 1/2W 350V</t>
  </si>
  <si>
    <t>YAGEO MFR-50FTF52-360R | Özdisan</t>
  </si>
  <si>
    <t>Resistor_THT:R_Axial_DIN0309_L9.0mm_D3.2mm_P12.70mm_Horizontal</t>
  </si>
  <si>
    <t>R4</t>
  </si>
  <si>
    <t>https://www.ozdisan.com/p/smt-smd-ve-cip-direncler-194/royalohm-0402wgj0201tce-471150</t>
  </si>
  <si>
    <t>Resistor_SMD:R_0402_1005Metric</t>
  </si>
  <si>
    <t>R5</t>
  </si>
  <si>
    <t>47 2W 500V</t>
  </si>
  <si>
    <t>ROYALOHM KNP02SJ0470A10 | Özdisan</t>
  </si>
  <si>
    <t>Resistor_THT:R_Axial_DIN0414_L11.9mm_D4.5mm_P15.24mm_Horizontal</t>
  </si>
  <si>
    <t>R6,R7</t>
  </si>
  <si>
    <t>33k 1W 500V</t>
  </si>
  <si>
    <t>https://www.ozdisan.com/p/tht-dip-direncler-193/royalohm-cfr01sj0333a10-444800</t>
  </si>
  <si>
    <t>R8,R10,R11,R12,R13,R14</t>
  </si>
  <si>
    <t>10k</t>
  </si>
  <si>
    <t>ROYALOHM 0402WGJ0103TCE | Özdisan</t>
  </si>
  <si>
    <t>R9</t>
  </si>
  <si>
    <t>180 1/10W</t>
  </si>
  <si>
    <t>ROYALOHM 0603SAJ0181T5E | Özdisan</t>
  </si>
  <si>
    <t>Resistor_SMD:R_0603_1608Metric</t>
  </si>
  <si>
    <t>RV1,RV2</t>
  </si>
  <si>
    <t>10561K</t>
  </si>
  <si>
    <t>THINKING TVR10561KFARY | Özdisan</t>
  </si>
  <si>
    <t>Varistor:RV_Disc_D12mm_W3.9mm_P7.5mm</t>
  </si>
  <si>
    <t>U1</t>
  </si>
  <si>
    <t>4N28</t>
  </si>
  <si>
    <t>ISOCOM 4N28 | Özdisan</t>
  </si>
  <si>
    <t>Package_DIP:DIP-6_W7.62mm</t>
  </si>
  <si>
    <t>U2</t>
  </si>
  <si>
    <t>TLV1117-33</t>
  </si>
  <si>
    <t>TEXAS TLV1117-33CDCYR | Özdisan</t>
  </si>
  <si>
    <t>Package_TO_SOT_SMD:SOT-223-3_TabPin2</t>
  </si>
  <si>
    <t>U3</t>
  </si>
  <si>
    <t>ESP32-WROOM-32</t>
  </si>
  <si>
    <t>ESP32-WROOM-32 4M 32Mbit Wi-Fi Bluetooth Modülü WiFİ Motorobit</t>
  </si>
  <si>
    <t>RF_Module:ESP32-WROOM-32</t>
  </si>
  <si>
    <t>U5</t>
  </si>
  <si>
    <t>MOC3053M</t>
  </si>
  <si>
    <t>LITEON MOC3053M | Özdisan</t>
  </si>
  <si>
    <t>U6</t>
  </si>
  <si>
    <t>SN74LVC1G14DBVR</t>
  </si>
  <si>
    <t>TEXAS SN74AHC1G14DBVR | Özdisan</t>
  </si>
  <si>
    <t>Package_TO_SOT_SMD:SOT-23-5</t>
  </si>
  <si>
    <t>1x14 Flat Ribbon Cable</t>
  </si>
  <si>
    <t>CONNFLY DS1057-01-14A301R/76.5- | Özdisan</t>
  </si>
  <si>
    <t>PCB (2 oz Cu)</t>
  </si>
  <si>
    <t>10 adet numune fiyatı 80 USD (makroPCB) değişebilir.</t>
  </si>
  <si>
    <t>AC Cable</t>
  </si>
  <si>
    <t>Diğer IC-268 Power Kablo Düz Erkek/Düz Dişi - 114,82 TL</t>
  </si>
  <si>
    <t>IC-212 AC Power Socket</t>
  </si>
  <si>
    <t>IC-212 POWER SOKET ERKEK KULAKLI - 22,21 TL</t>
  </si>
  <si>
    <t>TOTAL</t>
  </si>
  <si>
    <t>(VAT ex.)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</si>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</sst>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7C878D"/>
      <name val="__poppinsFont_c54163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1" fillId="4" fontId="1" numFmtId="0" xfId="0" applyAlignment="1" applyBorder="1" applyFill="1" applyFont="1">
      <alignment horizontal="center" readingOrder="0"/>
    </xf>
    <xf borderId="2" fillId="4" fontId="1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zdisan.com/p/tht-dip-direncler-193/royalohm-cfr01sj0333a10-444800" TargetMode="External"/><Relationship Id="rId22" Type="http://schemas.openxmlformats.org/officeDocument/2006/relationships/hyperlink" Target="https://www.ozdisan.com/p/smt-smd-ve-cip-direncler-194/royalohm-0603saj0181t5e-336227" TargetMode="External"/><Relationship Id="rId21" Type="http://schemas.openxmlformats.org/officeDocument/2006/relationships/hyperlink" Target="https://www.ozdisan.com/p/smt-smd-ve-cip-direncler-194/royalohm-0402wgj0103tce-362331" TargetMode="External"/><Relationship Id="rId24" Type="http://schemas.openxmlformats.org/officeDocument/2006/relationships/hyperlink" Target="https://www.ozdisan.com/p/transistor-ve-fotovoltaik-cikisli-optokuplorler-189/isocom-4n28-637076" TargetMode="External"/><Relationship Id="rId23" Type="http://schemas.openxmlformats.org/officeDocument/2006/relationships/hyperlink" Target="https://www.ozdisan.com/p/varistorler-863/thinking-tvr10561kfary-501305" TargetMode="External"/><Relationship Id="rId1" Type="http://schemas.openxmlformats.org/officeDocument/2006/relationships/hyperlink" Target="https://www.ozdisan.com/p/film-kapasitorler-179/faratronic-c42p2104m6sc361-488131" TargetMode="External"/><Relationship Id="rId2" Type="http://schemas.openxmlformats.org/officeDocument/2006/relationships/hyperlink" Target="https://www.ozdisan.com/p/aluminyum-kapasitorler-180/koshin-pklh-016v221me110-t2-5-349652" TargetMode="External"/><Relationship Id="rId3" Type="http://schemas.openxmlformats.org/officeDocument/2006/relationships/hyperlink" Target="https://www.ozdisan.com/p/aluminyum-kapasitorler-180/koshin-pkrm-016v101mc110-t-a5-0-340007" TargetMode="External"/><Relationship Id="rId4" Type="http://schemas.openxmlformats.org/officeDocument/2006/relationships/hyperlink" Target="https://www.ozdisan.com/p/film-kapasitorler-179/faratronic-c42q2103k40a405-350791" TargetMode="External"/><Relationship Id="rId9" Type="http://schemas.openxmlformats.org/officeDocument/2006/relationships/hyperlink" Target="https://www.ozdisan.com/p/sigortalar-849/reomax-5gt2-5a-445939" TargetMode="External"/><Relationship Id="rId26" Type="http://schemas.openxmlformats.org/officeDocument/2006/relationships/hyperlink" Target="https://www.motorobit.com/esp32-wroom-32-4m-32mbit-wi-fi-bluetooth-modulu" TargetMode="External"/><Relationship Id="rId25" Type="http://schemas.openxmlformats.org/officeDocument/2006/relationships/hyperlink" Target="https://www.ozdisan.com/p/lineer-voltaj-regulatorleri-279/texas-tlv1117-33cdcyr-588343" TargetMode="External"/><Relationship Id="rId28" Type="http://schemas.openxmlformats.org/officeDocument/2006/relationships/hyperlink" Target="https://www.ozdisan.com/p/logic-kapi-ve-cevirici-entegreleri-248/texas-sn74ahc1g14dbvr-616783" TargetMode="External"/><Relationship Id="rId27" Type="http://schemas.openxmlformats.org/officeDocument/2006/relationships/hyperlink" Target="https://www.ozdisan.com/p/triyak-scr-cikisli-optokuplorler-190/liteon-moc3053m-1562875" TargetMode="External"/><Relationship Id="rId5" Type="http://schemas.openxmlformats.org/officeDocument/2006/relationships/hyperlink" Target="https://www.ozdisan.com/p/smt-smd-ve-mlcc-kapasitorler-184/viking-mcf02ktb250104-1067390" TargetMode="External"/><Relationship Id="rId6" Type="http://schemas.openxmlformats.org/officeDocument/2006/relationships/hyperlink" Target="https://www.ozdisan.com/p/smt-smd-ve-mlcc-kapasitorler-184/samsung-cl10a106kp8nnnc-350863" TargetMode="External"/><Relationship Id="rId29" Type="http://schemas.openxmlformats.org/officeDocument/2006/relationships/hyperlink" Target="https://www.ozdisan.com/p/duz-serit-kablolar-649/connfly-ds1057-01-14a301r-76-5-484507" TargetMode="External"/><Relationship Id="rId7" Type="http://schemas.openxmlformats.org/officeDocument/2006/relationships/hyperlink" Target="https://www.ozdisan.com/p/genel-amacli-diyotlar-389/hottech-1n4007-ht-417207" TargetMode="External"/><Relationship Id="rId8" Type="http://schemas.openxmlformats.org/officeDocument/2006/relationships/hyperlink" Target="https://www.ozdisan.com/p/sigortalar-849/reomax-tbc1100a-448236" TargetMode="External"/><Relationship Id="rId31" Type="http://schemas.openxmlformats.org/officeDocument/2006/relationships/hyperlink" Target="https://www.kartalotomasyon.com.tr/urun/ic-212-power-soket-erkek-kulakli" TargetMode="External"/><Relationship Id="rId30" Type="http://schemas.openxmlformats.org/officeDocument/2006/relationships/hyperlink" Target="https://www.kartalotomasyon.com.tr/urun/ic-268-power-kablo-duz-erkek-duz-disi" TargetMode="External"/><Relationship Id="rId11" Type="http://schemas.openxmlformats.org/officeDocument/2006/relationships/hyperlink" Target="https://www.robotistan.com/28-inc-arduino-dokunmatik-ekran-shield-240320" TargetMode="External"/><Relationship Id="rId10" Type="http://schemas.openxmlformats.org/officeDocument/2006/relationships/hyperlink" Target="https://www.ozdisan.com/p/sigorta-yuvalari-847/reomax-r3-5a-575555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ozdisan.com/p/ortak-mod-bobinler-470/core-master-lfu09v-103-526799" TargetMode="External"/><Relationship Id="rId12" Type="http://schemas.openxmlformats.org/officeDocument/2006/relationships/hyperlink" Target="https://www.motorobit.com/max6675-k-tip-isil-cift-termokupl-sensor" TargetMode="External"/><Relationship Id="rId15" Type="http://schemas.openxmlformats.org/officeDocument/2006/relationships/hyperlink" Target="https://www.ozdisan.com/p/discrete-triyaklar-420/stm-bta12-600bwrg-615415" TargetMode="External"/><Relationship Id="rId14" Type="http://schemas.openxmlformats.org/officeDocument/2006/relationships/hyperlink" Target="https://www.ozdisan.com/p/ac-dc-donusturuculer-606/hi-link-hlk-pm01-583182" TargetMode="External"/><Relationship Id="rId17" Type="http://schemas.openxmlformats.org/officeDocument/2006/relationships/hyperlink" Target="https://www.ozdisan.com/p/tht-dip-direncler-193/yageo-mfr-50ftf52-360r-923549" TargetMode="External"/><Relationship Id="rId16" Type="http://schemas.openxmlformats.org/officeDocument/2006/relationships/hyperlink" Target="https://www.ozdisan.com/p/discrete-transistorler-442/mdd-s8050-j3y-1200098" TargetMode="External"/><Relationship Id="rId19" Type="http://schemas.openxmlformats.org/officeDocument/2006/relationships/hyperlink" Target="https://www.ozdisan.com/p/tht-dip-direncler-193/royalohm-knp02sj0470a10-690542" TargetMode="External"/><Relationship Id="rId18" Type="http://schemas.openxmlformats.org/officeDocument/2006/relationships/hyperlink" Target="https://www.ozdisan.com/p/smt-smd-ve-cip-direncler-194/royalohm-0402wgj0201tce-471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16.38"/>
    <col customWidth="1" min="5" max="5" width="16.63"/>
    <col customWidth="1" hidden="1" min="6" max="6" width="21.5"/>
    <col customWidth="1" min="7" max="7" width="99.88"/>
    <col customWidth="1" min="8" max="8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2">
        <v>0.05452</v>
      </c>
      <c r="E2" s="3">
        <f t="shared" ref="E2:E37" si="1">D2*B2</f>
        <v>0.05452</v>
      </c>
      <c r="G2" s="4" t="s">
        <v>10</v>
      </c>
      <c r="H2" s="1" t="s">
        <v>11</v>
      </c>
    </row>
    <row r="3">
      <c r="A3" s="1" t="s">
        <v>12</v>
      </c>
      <c r="B3" s="1">
        <v>1.0</v>
      </c>
      <c r="C3" s="1" t="s">
        <v>13</v>
      </c>
      <c r="D3" s="2">
        <v>0.02108</v>
      </c>
      <c r="E3" s="3">
        <f t="shared" si="1"/>
        <v>0.02108</v>
      </c>
      <c r="G3" s="4" t="s">
        <v>14</v>
      </c>
      <c r="H3" s="1" t="s">
        <v>15</v>
      </c>
    </row>
    <row r="4">
      <c r="A4" s="1" t="s">
        <v>16</v>
      </c>
      <c r="B4" s="1">
        <v>1.0</v>
      </c>
      <c r="C4" s="1" t="s">
        <v>17</v>
      </c>
      <c r="D4" s="2">
        <v>0.01349</v>
      </c>
      <c r="E4" s="3">
        <f t="shared" si="1"/>
        <v>0.01349</v>
      </c>
      <c r="G4" s="4" t="s">
        <v>18</v>
      </c>
      <c r="H4" s="1" t="s">
        <v>19</v>
      </c>
    </row>
    <row r="5">
      <c r="A5" s="1" t="s">
        <v>20</v>
      </c>
      <c r="B5" s="1">
        <v>1.0</v>
      </c>
      <c r="C5" s="1" t="s">
        <v>21</v>
      </c>
      <c r="D5" s="2">
        <v>0.06264</v>
      </c>
      <c r="E5" s="3">
        <f t="shared" si="1"/>
        <v>0.06264</v>
      </c>
      <c r="G5" s="4" t="s">
        <v>22</v>
      </c>
      <c r="H5" s="1" t="s">
        <v>23</v>
      </c>
    </row>
    <row r="6">
      <c r="A6" s="1" t="s">
        <v>24</v>
      </c>
      <c r="B6" s="1">
        <v>3.0</v>
      </c>
      <c r="C6" s="1" t="s">
        <v>25</v>
      </c>
      <c r="D6" s="2">
        <v>0.0016</v>
      </c>
      <c r="E6" s="3">
        <f t="shared" si="1"/>
        <v>0.0048</v>
      </c>
      <c r="G6" s="4" t="s">
        <v>26</v>
      </c>
      <c r="H6" s="1" t="s">
        <v>27</v>
      </c>
    </row>
    <row r="7">
      <c r="A7" s="1" t="s">
        <v>28</v>
      </c>
      <c r="B7" s="1">
        <v>1.0</v>
      </c>
      <c r="C7" s="1" t="s">
        <v>29</v>
      </c>
      <c r="D7" s="2">
        <v>0.01122</v>
      </c>
      <c r="E7" s="3">
        <f t="shared" si="1"/>
        <v>0.01122</v>
      </c>
      <c r="G7" s="4" t="s">
        <v>30</v>
      </c>
      <c r="H7" s="1" t="s">
        <v>31</v>
      </c>
    </row>
    <row r="8">
      <c r="A8" s="1" t="s">
        <v>32</v>
      </c>
      <c r="B8" s="1">
        <v>4.0</v>
      </c>
      <c r="C8" s="1" t="s">
        <v>33</v>
      </c>
      <c r="D8" s="2">
        <v>0.01823</v>
      </c>
      <c r="E8" s="3">
        <f t="shared" si="1"/>
        <v>0.07292</v>
      </c>
      <c r="G8" s="4" t="s">
        <v>34</v>
      </c>
      <c r="H8" s="1" t="s">
        <v>35</v>
      </c>
    </row>
    <row r="9">
      <c r="A9" s="1" t="s">
        <v>36</v>
      </c>
      <c r="B9" s="1">
        <v>2.0</v>
      </c>
      <c r="C9" s="1" t="s">
        <v>37</v>
      </c>
      <c r="D9" s="2">
        <v>0.04272</v>
      </c>
      <c r="E9" s="3">
        <f t="shared" si="1"/>
        <v>0.08544</v>
      </c>
      <c r="G9" s="4" t="s">
        <v>38</v>
      </c>
      <c r="H9" s="1" t="s">
        <v>39</v>
      </c>
    </row>
    <row r="10">
      <c r="A10" s="1" t="s">
        <v>40</v>
      </c>
      <c r="B10" s="1">
        <v>2.0</v>
      </c>
      <c r="C10" s="1" t="s">
        <v>41</v>
      </c>
      <c r="D10" s="2">
        <v>0.01929</v>
      </c>
      <c r="E10" s="3">
        <f t="shared" si="1"/>
        <v>0.03858</v>
      </c>
      <c r="G10" s="4" t="s">
        <v>42</v>
      </c>
      <c r="H10" s="1" t="s">
        <v>39</v>
      </c>
    </row>
    <row r="11">
      <c r="A11" s="1" t="s">
        <v>43</v>
      </c>
      <c r="B11" s="1">
        <v>8.0</v>
      </c>
      <c r="C11" s="1" t="s">
        <v>44</v>
      </c>
      <c r="D11" s="2">
        <v>0.02388</v>
      </c>
      <c r="E11" s="3">
        <f t="shared" si="1"/>
        <v>0.19104</v>
      </c>
      <c r="G11" s="4" t="s">
        <v>45</v>
      </c>
      <c r="H11" s="1"/>
    </row>
    <row r="12">
      <c r="A12" s="1" t="s">
        <v>46</v>
      </c>
      <c r="B12" s="1">
        <v>1.0</v>
      </c>
      <c r="C12" s="1" t="s">
        <v>47</v>
      </c>
      <c r="D12" s="2">
        <v>9.36</v>
      </c>
      <c r="E12" s="3">
        <f t="shared" si="1"/>
        <v>9.36</v>
      </c>
      <c r="G12" s="4" t="s">
        <v>48</v>
      </c>
      <c r="H12" s="1" t="s">
        <v>49</v>
      </c>
    </row>
    <row r="13">
      <c r="A13" s="1" t="s">
        <v>50</v>
      </c>
      <c r="B13" s="1">
        <v>1.0</v>
      </c>
      <c r="C13" s="1" t="s">
        <v>51</v>
      </c>
      <c r="E13" s="3">
        <f t="shared" si="1"/>
        <v>0</v>
      </c>
      <c r="G13" s="1" t="s">
        <v>52</v>
      </c>
      <c r="H13" s="1" t="s">
        <v>53</v>
      </c>
    </row>
    <row r="14">
      <c r="A14" s="1" t="s">
        <v>54</v>
      </c>
      <c r="B14" s="1">
        <v>1.0</v>
      </c>
      <c r="C14" s="1" t="s">
        <v>55</v>
      </c>
      <c r="E14" s="3">
        <f t="shared" si="1"/>
        <v>0</v>
      </c>
      <c r="G14" s="1" t="s">
        <v>52</v>
      </c>
      <c r="H14" s="1" t="s">
        <v>56</v>
      </c>
    </row>
    <row r="15">
      <c r="A15" s="1" t="s">
        <v>57</v>
      </c>
      <c r="B15" s="1">
        <v>1.0</v>
      </c>
      <c r="C15" s="1" t="s">
        <v>58</v>
      </c>
      <c r="E15" s="3">
        <f t="shared" si="1"/>
        <v>0</v>
      </c>
      <c r="G15" s="1" t="s">
        <v>52</v>
      </c>
      <c r="H15" s="1" t="s">
        <v>59</v>
      </c>
    </row>
    <row r="16">
      <c r="A16" s="1" t="s">
        <v>60</v>
      </c>
      <c r="B16" s="1">
        <v>1.0</v>
      </c>
      <c r="C16" s="1" t="s">
        <v>61</v>
      </c>
      <c r="D16" s="2">
        <v>5.21</v>
      </c>
      <c r="E16" s="3">
        <f t="shared" si="1"/>
        <v>5.21</v>
      </c>
      <c r="G16" s="4" t="s">
        <v>62</v>
      </c>
      <c r="H16" s="1" t="s">
        <v>63</v>
      </c>
    </row>
    <row r="17">
      <c r="A17" s="1" t="s">
        <v>64</v>
      </c>
      <c r="B17" s="1">
        <v>1.0</v>
      </c>
      <c r="C17" s="1" t="s">
        <v>65</v>
      </c>
      <c r="D17" s="2">
        <v>0.4138</v>
      </c>
      <c r="E17" s="3">
        <f t="shared" si="1"/>
        <v>0.4138</v>
      </c>
      <c r="G17" s="4" t="s">
        <v>66</v>
      </c>
      <c r="H17" s="1" t="s">
        <v>67</v>
      </c>
    </row>
    <row r="18">
      <c r="A18" s="1" t="s">
        <v>68</v>
      </c>
      <c r="B18" s="1">
        <v>1.0</v>
      </c>
      <c r="C18" s="1" t="s">
        <v>69</v>
      </c>
      <c r="D18" s="2">
        <v>4.61024</v>
      </c>
      <c r="E18" s="3">
        <f t="shared" si="1"/>
        <v>4.61024</v>
      </c>
      <c r="G18" s="4" t="s">
        <v>70</v>
      </c>
      <c r="H18" s="1" t="s">
        <v>71</v>
      </c>
    </row>
    <row r="19">
      <c r="A19" s="1" t="s">
        <v>72</v>
      </c>
      <c r="B19" s="1">
        <v>1.0</v>
      </c>
      <c r="C19" s="1" t="s">
        <v>73</v>
      </c>
      <c r="D19" s="2">
        <v>0.39824</v>
      </c>
      <c r="E19" s="3">
        <f t="shared" si="1"/>
        <v>0.39824</v>
      </c>
      <c r="G19" s="4" t="s">
        <v>74</v>
      </c>
      <c r="H19" s="1" t="s">
        <v>75</v>
      </c>
    </row>
    <row r="20">
      <c r="A20" s="1" t="s">
        <v>76</v>
      </c>
      <c r="B20" s="1">
        <v>2.0</v>
      </c>
      <c r="C20" s="1" t="s">
        <v>77</v>
      </c>
      <c r="D20" s="2">
        <v>0.0229</v>
      </c>
      <c r="E20" s="3">
        <f t="shared" si="1"/>
        <v>0.0458</v>
      </c>
      <c r="G20" s="4" t="s">
        <v>78</v>
      </c>
      <c r="H20" s="1" t="s">
        <v>79</v>
      </c>
    </row>
    <row r="21">
      <c r="A21" s="1" t="s">
        <v>80</v>
      </c>
      <c r="B21" s="1">
        <v>1.0</v>
      </c>
      <c r="C21" s="1" t="s">
        <v>81</v>
      </c>
      <c r="E21" s="3">
        <f t="shared" si="1"/>
        <v>0</v>
      </c>
      <c r="G21" s="1" t="s">
        <v>52</v>
      </c>
      <c r="H21" s="1" t="s">
        <v>56</v>
      </c>
    </row>
    <row r="22">
      <c r="A22" s="1" t="s">
        <v>82</v>
      </c>
      <c r="B22" s="1">
        <v>2.0</v>
      </c>
      <c r="C22" s="1" t="s">
        <v>83</v>
      </c>
      <c r="D22" s="2">
        <v>0.024</v>
      </c>
      <c r="E22" s="3">
        <f t="shared" si="1"/>
        <v>0.048</v>
      </c>
      <c r="G22" s="4" t="s">
        <v>84</v>
      </c>
      <c r="H22" s="1" t="s">
        <v>85</v>
      </c>
    </row>
    <row r="23">
      <c r="A23" s="1" t="s">
        <v>86</v>
      </c>
      <c r="B23" s="1">
        <v>1.0</v>
      </c>
      <c r="C23" s="5">
        <v>200.0</v>
      </c>
      <c r="D23" s="2">
        <v>4.2E-4</v>
      </c>
      <c r="E23" s="3">
        <f t="shared" si="1"/>
        <v>0.00042</v>
      </c>
      <c r="G23" s="6" t="s">
        <v>87</v>
      </c>
      <c r="H23" s="1" t="s">
        <v>88</v>
      </c>
    </row>
    <row r="24">
      <c r="A24" s="1" t="s">
        <v>89</v>
      </c>
      <c r="B24" s="1">
        <v>1.0</v>
      </c>
      <c r="C24" s="1" t="s">
        <v>90</v>
      </c>
      <c r="D24" s="2">
        <v>0.0248</v>
      </c>
      <c r="E24" s="3">
        <f t="shared" si="1"/>
        <v>0.0248</v>
      </c>
      <c r="G24" s="4" t="s">
        <v>91</v>
      </c>
      <c r="H24" s="1" t="s">
        <v>92</v>
      </c>
    </row>
    <row r="25">
      <c r="A25" s="1" t="s">
        <v>93</v>
      </c>
      <c r="B25" s="1">
        <v>2.0</v>
      </c>
      <c r="C25" s="1" t="s">
        <v>94</v>
      </c>
      <c r="D25" s="2">
        <v>0.02411</v>
      </c>
      <c r="E25" s="3">
        <f t="shared" si="1"/>
        <v>0.04822</v>
      </c>
      <c r="G25" s="6" t="s">
        <v>95</v>
      </c>
      <c r="H25" s="1" t="s">
        <v>92</v>
      </c>
    </row>
    <row r="26">
      <c r="A26" s="1" t="s">
        <v>96</v>
      </c>
      <c r="B26" s="1">
        <v>6.0</v>
      </c>
      <c r="C26" s="1" t="s">
        <v>97</v>
      </c>
      <c r="D26" s="2">
        <v>4.2E-4</v>
      </c>
      <c r="E26" s="3">
        <f t="shared" si="1"/>
        <v>0.00252</v>
      </c>
      <c r="G26" s="4" t="s">
        <v>98</v>
      </c>
      <c r="H26" s="1" t="s">
        <v>88</v>
      </c>
    </row>
    <row r="27">
      <c r="A27" s="1" t="s">
        <v>99</v>
      </c>
      <c r="B27" s="1">
        <v>1.0</v>
      </c>
      <c r="C27" s="1" t="s">
        <v>100</v>
      </c>
      <c r="D27" s="2">
        <v>7.6E-4</v>
      </c>
      <c r="E27" s="3">
        <f t="shared" si="1"/>
        <v>0.00076</v>
      </c>
      <c r="G27" s="4" t="s">
        <v>101</v>
      </c>
      <c r="H27" s="1" t="s">
        <v>102</v>
      </c>
    </row>
    <row r="28">
      <c r="A28" s="1" t="s">
        <v>103</v>
      </c>
      <c r="B28" s="1">
        <v>2.0</v>
      </c>
      <c r="C28" s="1" t="s">
        <v>104</v>
      </c>
      <c r="D28" s="2">
        <v>0.08841</v>
      </c>
      <c r="E28" s="3">
        <f t="shared" si="1"/>
        <v>0.17682</v>
      </c>
      <c r="G28" s="4" t="s">
        <v>105</v>
      </c>
      <c r="H28" s="1" t="s">
        <v>106</v>
      </c>
    </row>
    <row r="29">
      <c r="A29" s="1" t="s">
        <v>107</v>
      </c>
      <c r="B29" s="1">
        <v>1.0</v>
      </c>
      <c r="C29" s="1" t="s">
        <v>108</v>
      </c>
      <c r="D29" s="2">
        <v>0.17582</v>
      </c>
      <c r="E29" s="3">
        <f t="shared" si="1"/>
        <v>0.17582</v>
      </c>
      <c r="G29" s="4" t="s">
        <v>109</v>
      </c>
      <c r="H29" s="1" t="s">
        <v>110</v>
      </c>
    </row>
    <row r="30">
      <c r="A30" s="1" t="s">
        <v>111</v>
      </c>
      <c r="B30" s="1">
        <v>1.0</v>
      </c>
      <c r="C30" s="1" t="s">
        <v>112</v>
      </c>
      <c r="D30" s="2">
        <v>0.124</v>
      </c>
      <c r="E30" s="3">
        <f t="shared" si="1"/>
        <v>0.124</v>
      </c>
      <c r="G30" s="4" t="s">
        <v>113</v>
      </c>
      <c r="H30" s="1" t="s">
        <v>114</v>
      </c>
    </row>
    <row r="31">
      <c r="A31" s="1" t="s">
        <v>115</v>
      </c>
      <c r="B31" s="1">
        <v>1.0</v>
      </c>
      <c r="C31" s="1" t="s">
        <v>116</v>
      </c>
      <c r="D31" s="2">
        <v>4.56</v>
      </c>
      <c r="E31" s="3">
        <f t="shared" si="1"/>
        <v>4.56</v>
      </c>
      <c r="G31" s="4" t="s">
        <v>117</v>
      </c>
      <c r="H31" s="1" t="s">
        <v>118</v>
      </c>
    </row>
    <row r="32">
      <c r="A32" s="1" t="s">
        <v>119</v>
      </c>
      <c r="B32" s="1">
        <v>1.0</v>
      </c>
      <c r="C32" s="1" t="s">
        <v>120</v>
      </c>
      <c r="D32" s="2">
        <v>0.26427</v>
      </c>
      <c r="E32" s="3">
        <f t="shared" si="1"/>
        <v>0.26427</v>
      </c>
      <c r="G32" s="4" t="s">
        <v>121</v>
      </c>
      <c r="H32" s="1" t="s">
        <v>110</v>
      </c>
    </row>
    <row r="33">
      <c r="A33" s="1" t="s">
        <v>122</v>
      </c>
      <c r="B33" s="1">
        <v>1.0</v>
      </c>
      <c r="C33" s="1" t="s">
        <v>123</v>
      </c>
      <c r="D33" s="2">
        <v>0.0563</v>
      </c>
      <c r="E33" s="3">
        <f t="shared" si="1"/>
        <v>0.0563</v>
      </c>
      <c r="G33" s="4" t="s">
        <v>124</v>
      </c>
      <c r="H33" s="1" t="s">
        <v>125</v>
      </c>
    </row>
    <row r="34">
      <c r="A34" s="1" t="s">
        <v>43</v>
      </c>
      <c r="B34" s="1">
        <v>1.0</v>
      </c>
      <c r="C34" s="1" t="s">
        <v>126</v>
      </c>
      <c r="D34" s="2">
        <v>0.57698</v>
      </c>
      <c r="E34" s="3">
        <f t="shared" si="1"/>
        <v>0.57698</v>
      </c>
      <c r="G34" s="4" t="s">
        <v>127</v>
      </c>
    </row>
    <row r="35">
      <c r="A35" s="1" t="s">
        <v>43</v>
      </c>
      <c r="B35" s="1">
        <v>1.0</v>
      </c>
      <c r="C35" s="1" t="s">
        <v>128</v>
      </c>
      <c r="D35" s="1">
        <v>8.0</v>
      </c>
      <c r="E35" s="3">
        <f t="shared" si="1"/>
        <v>8</v>
      </c>
      <c r="G35" s="7" t="s">
        <v>129</v>
      </c>
    </row>
    <row r="36">
      <c r="A36" s="1" t="s">
        <v>43</v>
      </c>
      <c r="B36" s="1">
        <v>1.0</v>
      </c>
      <c r="C36" s="1" t="s">
        <v>130</v>
      </c>
      <c r="D36" s="2">
        <v>2.2</v>
      </c>
      <c r="E36" s="3">
        <f t="shared" si="1"/>
        <v>2.2</v>
      </c>
      <c r="G36" s="4" t="s">
        <v>131</v>
      </c>
    </row>
    <row r="37">
      <c r="A37" s="1" t="s">
        <v>43</v>
      </c>
      <c r="B37" s="1">
        <v>1.0</v>
      </c>
      <c r="C37" s="1" t="s">
        <v>132</v>
      </c>
      <c r="D37" s="2">
        <v>0.42</v>
      </c>
      <c r="E37" s="3">
        <f t="shared" si="1"/>
        <v>0.42</v>
      </c>
      <c r="G37" s="4" t="s">
        <v>133</v>
      </c>
    </row>
    <row r="41">
      <c r="E41" s="8" t="s">
        <v>134</v>
      </c>
      <c r="G41" s="1" t="s">
        <v>135</v>
      </c>
    </row>
    <row r="42">
      <c r="E42" s="9">
        <f>SUM(E2:E37)</f>
        <v>37.27272</v>
      </c>
      <c r="G42" s="1" t="s">
        <v>136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6"/>
    <hyperlink r:id="rId13" ref="G17"/>
    <hyperlink r:id="rId14" ref="G18"/>
    <hyperlink r:id="rId15" ref="G19"/>
    <hyperlink r:id="rId16" ref="G20"/>
    <hyperlink r:id="rId17" ref="G22"/>
    <hyperlink r:id="rId18" ref="G23"/>
    <hyperlink r:id="rId19" ref="G24"/>
    <hyperlink r:id="rId20" ref="G25"/>
    <hyperlink r:id="rId21" ref="G26"/>
    <hyperlink r:id="rId22" ref="G27"/>
    <hyperlink r:id="rId23" ref="G28"/>
    <hyperlink r:id="rId24" ref="G29"/>
    <hyperlink r:id="rId25" ref="G30"/>
    <hyperlink r:id="rId26" ref="G31"/>
    <hyperlink r:id="rId27" ref="G32"/>
    <hyperlink r:id="rId28" ref="G33"/>
    <hyperlink r:id="rId29" ref="G34"/>
    <hyperlink r:id="rId30" ref="G36"/>
    <hyperlink r:id="rId31" ref="G37"/>
  </hyperlinks>
  <drawing r:id="rId32"/>
</worksheet>
</file>